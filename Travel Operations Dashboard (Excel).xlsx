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183B2C55-A901-42E9-8990-8E6F3418E2F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imeline" sheetId="1" r:id="rId1"/>
    <sheet name="Travel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A3" i="1"/>
  <c r="A5" i="1" a="1"/>
  <c r="A5" i="1"/>
  <c r="C4" i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<sst xmlns="http://schemas.openxmlformats.org/spreadsheetml/2006/main" count="28" uniqueCount="14">
  <si>
    <t>2026 Travel Timeline Overview (Weeks)</t>
  </si>
  <si>
    <t>Total Trips</t>
  </si>
  <si>
    <t>Unique Travelers</t>
  </si>
  <si>
    <t>Employee</t>
  </si>
  <si>
    <t>Location</t>
  </si>
  <si>
    <t>Trip_Start</t>
  </si>
  <si>
    <t>Trip_End</t>
  </si>
  <si>
    <t>Jimmy</t>
  </si>
  <si>
    <t>Dallas</t>
  </si>
  <si>
    <t>London</t>
  </si>
  <si>
    <t>Michael</t>
  </si>
  <si>
    <t>Steve</t>
  </si>
  <si>
    <t>Allison</t>
  </si>
  <si>
    <t>Bree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</si>
</sst>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4" fontId="0" fillId="0" borderId="0" xfId="0" applyNumberFormat="1" applyAlignment="1">
      <alignment wrapText="1"/>
    </xf>
    <xf numFmtId="14" fontId="0" fillId="0" borderId="0" xfId="0" applyNumberFormat="1" applyAlignment="1"/>
    <xf numFmtId="0" fontId="0" fillId="0" borderId="0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2" fillId="0" borderId="7" xfId="0" applyFon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"/>
  <sheetViews>
    <sheetView showGridLines="0" tabSelected="1" workbookViewId="0">
      <selection activeCell="C25" sqref="C25"/>
    </sheetView>
  </sheetViews>
  <sheetFormatPr defaultRowHeight="15"/>
  <cols>
    <col min="2" max="3" width="9.28515625" bestFit="1" customWidth="1"/>
    <col min="4" max="4" width="13.7109375" customWidth="1"/>
    <col min="5" max="5" width="10.42578125" customWidth="1"/>
    <col min="6" max="6" width="14.28515625" customWidth="1"/>
    <col min="8" max="8" width="10.85546875" customWidth="1"/>
    <col min="9" max="9" width="13.140625" customWidth="1"/>
    <col min="10" max="10" width="10.85546875" customWidth="1"/>
    <col min="12" max="12" width="10.5703125" customWidth="1"/>
    <col min="13" max="13" width="11.42578125" customWidth="1"/>
    <col min="14" max="14" width="11.28515625" customWidth="1"/>
    <col min="15" max="15" width="10.140625" customWidth="1"/>
    <col min="17" max="17" width="11.7109375" customWidth="1"/>
    <col min="18" max="18" width="11.140625" customWidth="1"/>
    <col min="19" max="19" width="11.5703125" customWidth="1"/>
    <col min="21" max="21" width="10.85546875" customWidth="1"/>
    <col min="22" max="22" width="10" customWidth="1"/>
    <col min="23" max="23" width="9.7109375" customWidth="1"/>
    <col min="26" max="26" width="10.140625" customWidth="1"/>
    <col min="27" max="27" width="12" customWidth="1"/>
    <col min="28" max="28" width="11.5703125" customWidth="1"/>
    <col min="30" max="30" width="10.42578125" customWidth="1"/>
  </cols>
  <sheetData>
    <row r="1" spans="1:30" ht="18.75">
      <c r="A1" s="16" t="s">
        <v>0</v>
      </c>
    </row>
    <row r="2" spans="1:30">
      <c r="A2" s="9" t="s">
        <v>1</v>
      </c>
      <c r="B2" s="9" t="s">
        <v>2</v>
      </c>
    </row>
    <row r="3" spans="1:30">
      <c r="A3" s="6">
        <f>COUNTA(TravelData!A2:A100)</f>
        <v>10</v>
      </c>
      <c r="B3" s="6">
        <f>COUNTA(_xlfn.UNIQUE(TravelData!A2:A100))</f>
        <v>6</v>
      </c>
    </row>
    <row r="4" spans="1:30">
      <c r="A4" s="17" t="s">
        <v>3</v>
      </c>
      <c r="B4" s="18">
        <v>46082</v>
      </c>
      <c r="C4" s="11">
        <f>B4+7</f>
        <v>46089</v>
      </c>
      <c r="D4" s="11">
        <f t="shared" ref="D4:AD4" si="0">C4+7</f>
        <v>46096</v>
      </c>
      <c r="E4" s="11">
        <f t="shared" si="0"/>
        <v>46103</v>
      </c>
      <c r="F4" s="11">
        <f t="shared" si="0"/>
        <v>46110</v>
      </c>
      <c r="G4" s="11">
        <f t="shared" si="0"/>
        <v>46117</v>
      </c>
      <c r="H4" s="11">
        <f t="shared" si="0"/>
        <v>46124</v>
      </c>
      <c r="I4" s="11">
        <f t="shared" si="0"/>
        <v>46131</v>
      </c>
      <c r="J4" s="11">
        <f t="shared" si="0"/>
        <v>46138</v>
      </c>
      <c r="K4" s="11">
        <f t="shared" si="0"/>
        <v>46145</v>
      </c>
      <c r="L4" s="11">
        <f t="shared" si="0"/>
        <v>46152</v>
      </c>
      <c r="M4" s="11">
        <f t="shared" si="0"/>
        <v>46159</v>
      </c>
      <c r="N4" s="11">
        <f t="shared" si="0"/>
        <v>46166</v>
      </c>
      <c r="O4" s="11">
        <f t="shared" si="0"/>
        <v>46173</v>
      </c>
      <c r="P4" s="11">
        <f t="shared" si="0"/>
        <v>46180</v>
      </c>
      <c r="Q4" s="11">
        <f t="shared" si="0"/>
        <v>46187</v>
      </c>
      <c r="R4" s="11">
        <f t="shared" si="0"/>
        <v>46194</v>
      </c>
      <c r="S4" s="11">
        <f t="shared" si="0"/>
        <v>46201</v>
      </c>
      <c r="T4" s="11">
        <f t="shared" si="0"/>
        <v>46208</v>
      </c>
      <c r="U4" s="11">
        <f t="shared" si="0"/>
        <v>46215</v>
      </c>
      <c r="V4" s="11">
        <f t="shared" si="0"/>
        <v>46222</v>
      </c>
      <c r="W4" s="11">
        <f t="shared" si="0"/>
        <v>46229</v>
      </c>
      <c r="X4" s="11">
        <f t="shared" si="0"/>
        <v>46236</v>
      </c>
      <c r="Y4" s="11">
        <f t="shared" si="0"/>
        <v>46243</v>
      </c>
      <c r="Z4" s="11">
        <f t="shared" si="0"/>
        <v>46250</v>
      </c>
      <c r="AA4" s="11">
        <f t="shared" si="0"/>
        <v>46257</v>
      </c>
      <c r="AB4" s="11">
        <f t="shared" si="0"/>
        <v>46264</v>
      </c>
      <c r="AC4" s="11">
        <f t="shared" si="0"/>
        <v>46271</v>
      </c>
      <c r="AD4" s="12">
        <f t="shared" si="0"/>
        <v>46278</v>
      </c>
    </row>
    <row r="5" spans="1:30">
      <c r="A5" s="13" t="str" cm="1">
        <f t="array" ref="A5:A9">_xlfn.UNIQUE(_xlfn._xlws.FILTER(TravelData!A2:A100, TravelData!A2:A100&lt;&gt;""))</f>
        <v>Jimmy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</row>
    <row r="6" spans="1:30">
      <c r="A6" s="14" t="str">
        <v>Michael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7"/>
    </row>
    <row r="7" spans="1:30">
      <c r="A7" s="14" t="str">
        <v>Steve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7"/>
    </row>
    <row r="8" spans="1:30">
      <c r="A8" s="14" t="str">
        <v>Allison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7"/>
    </row>
    <row r="9" spans="1:30">
      <c r="A9" s="15" t="str">
        <v>Bree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8"/>
    </row>
    <row r="10" spans="1:3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CCB27C4-722F-45E1-AF69-2110749D686A}">
            <xm:f>COUNTIFS(TravelData!$A:$A,$A5,TravelData!$C:$C,"&lt;="&amp;B$4+6,TravelData!$D:$D,"&gt;="&amp;B$4)&gt;0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B5:AD9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E812-096C-4D3C-B807-3040C1DE3CCF}">
  <dimension ref="A1:D11"/>
  <sheetViews>
    <sheetView workbookViewId="0">
      <selection activeCell="D11" sqref="D11"/>
    </sheetView>
  </sheetViews>
  <sheetFormatPr defaultRowHeight="15"/>
  <cols>
    <col min="1" max="2" width="9.140625" style="1"/>
    <col min="3" max="3" width="12.5703125" style="1" customWidth="1"/>
    <col min="4" max="4" width="17.5703125" style="1" customWidth="1"/>
  </cols>
  <sheetData>
    <row r="1" spans="1:4" ht="30.75">
      <c r="A1" s="1" t="s">
        <v>3</v>
      </c>
      <c r="B1" s="1" t="s">
        <v>4</v>
      </c>
      <c r="C1" s="1" t="s">
        <v>5</v>
      </c>
      <c r="D1" s="1" t="s">
        <v>6</v>
      </c>
    </row>
    <row r="2" spans="1:4">
      <c r="A2" s="1" t="s">
        <v>7</v>
      </c>
      <c r="B2" s="1" t="s">
        <v>8</v>
      </c>
      <c r="C2" s="3">
        <v>46085</v>
      </c>
      <c r="D2" s="3">
        <v>46090</v>
      </c>
    </row>
    <row r="3" spans="1:4">
      <c r="A3" s="1" t="s">
        <v>7</v>
      </c>
      <c r="B3" s="1" t="s">
        <v>9</v>
      </c>
      <c r="C3" s="4">
        <v>46154</v>
      </c>
      <c r="D3" s="3">
        <v>46162</v>
      </c>
    </row>
    <row r="4" spans="1:4">
      <c r="A4" s="1" t="s">
        <v>10</v>
      </c>
      <c r="B4" s="1" t="s">
        <v>8</v>
      </c>
      <c r="C4" s="3">
        <v>46085</v>
      </c>
      <c r="D4" s="3">
        <v>46090</v>
      </c>
    </row>
    <row r="5" spans="1:4">
      <c r="A5" s="1" t="s">
        <v>10</v>
      </c>
      <c r="B5" s="1" t="s">
        <v>9</v>
      </c>
      <c r="C5" s="3">
        <v>46235</v>
      </c>
      <c r="D5" s="3">
        <v>46239</v>
      </c>
    </row>
    <row r="6" spans="1:4">
      <c r="A6" s="1" t="s">
        <v>11</v>
      </c>
      <c r="B6" s="1" t="s">
        <v>8</v>
      </c>
      <c r="C6" s="3">
        <v>46096</v>
      </c>
      <c r="D6" s="3">
        <v>46102</v>
      </c>
    </row>
    <row r="7" spans="1:4">
      <c r="A7" s="1" t="s">
        <v>11</v>
      </c>
      <c r="B7" s="1" t="s">
        <v>9</v>
      </c>
      <c r="C7" s="3">
        <v>46246</v>
      </c>
      <c r="D7" s="3">
        <v>46250</v>
      </c>
    </row>
    <row r="8" spans="1:4">
      <c r="A8" s="1" t="s">
        <v>12</v>
      </c>
      <c r="B8" s="1" t="s">
        <v>8</v>
      </c>
      <c r="C8" s="3">
        <v>46093</v>
      </c>
      <c r="D8" s="3">
        <v>46097</v>
      </c>
    </row>
    <row r="9" spans="1:4">
      <c r="A9" s="2" t="s">
        <v>12</v>
      </c>
      <c r="B9" s="1" t="s">
        <v>9</v>
      </c>
      <c r="C9" s="3">
        <v>46255</v>
      </c>
      <c r="D9" s="3">
        <v>46259</v>
      </c>
    </row>
    <row r="10" spans="1:4">
      <c r="A10" s="1" t="s">
        <v>13</v>
      </c>
      <c r="B10" s="1" t="s">
        <v>8</v>
      </c>
      <c r="C10" s="3">
        <v>46113</v>
      </c>
      <c r="D10" s="3">
        <v>46118</v>
      </c>
    </row>
    <row r="11" spans="1:4">
      <c r="A11" s="2" t="s">
        <v>13</v>
      </c>
      <c r="B11" s="1" t="s">
        <v>9</v>
      </c>
      <c r="C11" s="3">
        <v>46277</v>
      </c>
      <c r="D11" s="3">
        <v>46281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2026-02-17T18:22:30Z</dcterms:created>
  <dcterms:modified xsi:type="dcterms:W3CDTF">2026-02-17T19:32:22Z</dcterms:modified>
  <cp:category/>
  <cp:contentStatus/>
</cp:coreProperties>
</file>